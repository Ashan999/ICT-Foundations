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Budget" sheetId="1" r:id="rId4"/>
    <sheet state="visible" name="Formulas Used" sheetId="2" r:id="rId5"/>
  </sheets>
  <definedNames/>
  <calcPr/>
  <extLst>
    <ext uri="GoogleSheetsCustomDataVersion2">
      <go:sheetsCustomData xmlns:go="http://customooxmlschemas.google.com/" r:id="rId6" roundtripDataChecksum="/zFY6kyZzGf+K+Nm77BBCmMwg2CW+J3FS5YZcHKzC/M="/>
    </ext>
  </extLst>
</workbook>
</file>

<file path=xl/sharedStrings.xml><?xml version="1.0" encoding="utf-8"?>
<sst xmlns="http://schemas.openxmlformats.org/spreadsheetml/2006/main" count="69" uniqueCount="65">
  <si>
    <t>💰 MONTHLY Student Expence Tracker</t>
  </si>
  <si>
    <t>Name: Ashan Virantha   |   Month: March 2026   |   Currency: AED</t>
  </si>
  <si>
    <t xml:space="preserve">  INCOME</t>
  </si>
  <si>
    <t>Category</t>
  </si>
  <si>
    <t>Budgeted (AED)</t>
  </si>
  <si>
    <t>Actual (AED)</t>
  </si>
  <si>
    <t>Difference (AED)</t>
  </si>
  <si>
    <t>Salary</t>
  </si>
  <si>
    <t>Family Allowance</t>
  </si>
  <si>
    <t>Scholarship</t>
  </si>
  <si>
    <t>Freelance Work</t>
  </si>
  <si>
    <t>Other Income</t>
  </si>
  <si>
    <t>TOTAL INCOME</t>
  </si>
  <si>
    <t xml:space="preserve">  EXPENSES</t>
  </si>
  <si>
    <t>Room Rent</t>
  </si>
  <si>
    <t>Food &amp; Groceries</t>
  </si>
  <si>
    <t>Internet &amp; WiFi Data</t>
  </si>
  <si>
    <t>Fuel for Car</t>
  </si>
  <si>
    <t>Savings</t>
  </si>
  <si>
    <t>Tuition / Course Fees</t>
  </si>
  <si>
    <t>Entertainment</t>
  </si>
  <si>
    <t>Personal Care</t>
  </si>
  <si>
    <t>Miscellaneous</t>
  </si>
  <si>
    <t>TOTAL EXPENSES</t>
  </si>
  <si>
    <t xml:space="preserve">  SUMMARY</t>
  </si>
  <si>
    <t>Total Income (Actual)</t>
  </si>
  <si>
    <t>Total Expenses (Actual)</t>
  </si>
  <si>
    <t>Money Left Over</t>
  </si>
  <si>
    <t>Savings Rate</t>
  </si>
  <si>
    <t>Cell / Location</t>
  </si>
  <si>
    <t>Formula</t>
  </si>
  <si>
    <t>What It Does</t>
  </si>
  <si>
    <t>E7:E11 (Income diff)</t>
  </si>
  <si>
    <t>'=D7-C7</t>
  </si>
  <si>
    <t>Actual minus budgeted for each income item</t>
  </si>
  <si>
    <t>C12 (Total Income Bud)</t>
  </si>
  <si>
    <t>'=SUM(C7:C11)</t>
  </si>
  <si>
    <t>Sum all budgeted income</t>
  </si>
  <si>
    <t>D12 (Total Income Act)</t>
  </si>
  <si>
    <t>'=SUM(D7:D11)</t>
  </si>
  <si>
    <t>Sum all actual income</t>
  </si>
  <si>
    <t>E12 (Total Income Diff)</t>
  </si>
  <si>
    <t>'=D12-C12</t>
  </si>
  <si>
    <t>Total actual minus total budgeted income</t>
  </si>
  <si>
    <t>E16:E24 (Expense diff)</t>
  </si>
  <si>
    <t>'=D16-C16</t>
  </si>
  <si>
    <t>Actual minus budgeted per expense</t>
  </si>
  <si>
    <t>C25 (Total Exp Bud)</t>
  </si>
  <si>
    <t>'=SUM(C16:C24)</t>
  </si>
  <si>
    <t>Sum all budgeted expenses</t>
  </si>
  <si>
    <t>D25 (Total Exp Act)</t>
  </si>
  <si>
    <t>'=SUM(D16:D24)</t>
  </si>
  <si>
    <t>Sum all actual expenses</t>
  </si>
  <si>
    <t>C28 (Total Income Sum)</t>
  </si>
  <si>
    <t>'=D12</t>
  </si>
  <si>
    <t>Pull actual income total</t>
  </si>
  <si>
    <t>C29 (Total Exp Sum)</t>
  </si>
  <si>
    <t>'=D25</t>
  </si>
  <si>
    <t>Pull actual expenses total</t>
  </si>
  <si>
    <t>C30 (Money Left Over)</t>
  </si>
  <si>
    <t>'=D12-D25</t>
  </si>
  <si>
    <t>Income minus expenses</t>
  </si>
  <si>
    <t>C31 (Savings Rate)</t>
  </si>
  <si>
    <t>'=IF(D12=0,0,(D12-D25)/D12)</t>
  </si>
  <si>
    <t>Savings % of income (0 if no income)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</si>
</sst>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(#,##0\);\-"/>
    <numFmt numFmtId="165" formatCode="0.0%"/>
  </numFmts>
  <fonts count="11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0.0"/>
      <color rgb="FFFFFF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AF4FB"/>
        <bgColor rgb="FFEAF4FB"/>
      </patternFill>
    </fill>
    <fill>
      <patternFill patternType="solid">
        <fgColor rgb="FFC8E6C9"/>
        <bgColor rgb="FFC8E6C9"/>
      </patternFill>
    </fill>
    <fill>
      <patternFill patternType="solid">
        <fgColor rgb="FFE06666"/>
        <bgColor rgb="FFE06666"/>
      </patternFill>
    </fill>
    <fill>
      <patternFill patternType="solid">
        <fgColor rgb="FFA93226"/>
        <bgColor rgb="FFA93226"/>
      </patternFill>
    </fill>
    <fill>
      <patternFill patternType="solid">
        <fgColor rgb="FFFADBD8"/>
        <bgColor rgb="FFFADBD8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  <fill>
      <patternFill patternType="solid">
        <fgColor rgb="FFF0F0F0"/>
        <bgColor rgb="FFF0F0F0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4" fontId="6" numFmtId="0" xfId="0" applyAlignment="1" applyBorder="1" applyFill="1" applyFont="1">
      <alignment horizontal="left" shrinkToFit="0" vertical="center" wrapText="0"/>
    </xf>
    <xf borderId="4" fillId="4" fontId="7" numFmtId="164" xfId="0" applyAlignment="1" applyBorder="1" applyFont="1" applyNumberFormat="1">
      <alignment horizontal="center" shrinkToFit="0" vertical="center" wrapText="0"/>
    </xf>
    <xf borderId="4" fillId="4" fontId="7" numFmtId="164" xfId="0" applyAlignment="1" applyBorder="1" applyFont="1" applyNumberFormat="1">
      <alignment horizontal="center" readingOrder="0" shrinkToFit="0" vertical="center" wrapText="0"/>
    </xf>
    <xf borderId="4" fillId="4" fontId="6" numFmtId="164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ill="1" applyFont="1">
      <alignment horizontal="left" shrinkToFit="0" vertical="center" wrapText="0"/>
    </xf>
    <xf borderId="4" fillId="5" fontId="7" numFmtId="164" xfId="0" applyAlignment="1" applyBorder="1" applyFont="1" applyNumberFormat="1">
      <alignment horizontal="center" shrinkToFit="0" vertical="center" wrapText="0"/>
    </xf>
    <xf borderId="4" fillId="5" fontId="7" numFmtId="164" xfId="0" applyAlignment="1" applyBorder="1" applyFont="1" applyNumberFormat="1">
      <alignment horizontal="center" readingOrder="0" shrinkToFit="0" vertical="center" wrapText="0"/>
    </xf>
    <xf borderId="4" fillId="5" fontId="6" numFmtId="164" xfId="0" applyAlignment="1" applyBorder="1" applyFont="1" applyNumberFormat="1">
      <alignment horizontal="center" shrinkToFit="0" vertical="center" wrapText="0"/>
    </xf>
    <xf borderId="4" fillId="6" fontId="8" numFmtId="0" xfId="0" applyAlignment="1" applyBorder="1" applyFill="1" applyFont="1">
      <alignment horizontal="left" shrinkToFit="0" vertical="center" wrapText="0"/>
    </xf>
    <xf borderId="4" fillId="6" fontId="8" numFmtId="164" xfId="0" applyAlignment="1" applyBorder="1" applyFont="1" applyNumberFormat="1">
      <alignment horizontal="center" shrinkToFit="0" vertical="center" wrapText="0"/>
    </xf>
    <xf borderId="1" fillId="7" fontId="4" numFmtId="0" xfId="0" applyAlignment="1" applyBorder="1" applyFill="1" applyFont="1">
      <alignment horizontal="left" shrinkToFit="0" vertical="center" wrapText="0"/>
    </xf>
    <xf borderId="4" fillId="8" fontId="5" numFmtId="0" xfId="0" applyAlignment="1" applyBorder="1" applyFill="1" applyFont="1">
      <alignment horizontal="left" shrinkToFit="0" vertical="center" wrapText="0"/>
    </xf>
    <xf borderId="4" fillId="8" fontId="5" numFmtId="0" xfId="0" applyAlignment="1" applyBorder="1" applyFont="1">
      <alignment horizontal="center" shrinkToFit="0" vertical="center" wrapText="0"/>
    </xf>
    <xf borderId="4" fillId="9" fontId="8" numFmtId="0" xfId="0" applyAlignment="1" applyBorder="1" applyFill="1" applyFont="1">
      <alignment horizontal="left" shrinkToFit="0" vertical="center" wrapText="0"/>
    </xf>
    <xf borderId="4" fillId="9" fontId="8" numFmtId="164" xfId="0" applyAlignment="1" applyBorder="1" applyFont="1" applyNumberFormat="1">
      <alignment horizontal="center" shrinkToFit="0" vertical="center" wrapText="0"/>
    </xf>
    <xf borderId="1" fillId="10" fontId="4" numFmtId="0" xfId="0" applyAlignment="1" applyBorder="1" applyFill="1" applyFont="1">
      <alignment horizontal="left" shrinkToFit="0" vertical="center" wrapText="0"/>
    </xf>
    <xf borderId="4" fillId="11" fontId="5" numFmtId="0" xfId="0" applyAlignment="1" applyBorder="1" applyFill="1" applyFont="1">
      <alignment horizontal="left" shrinkToFit="0" vertical="center" wrapText="0"/>
    </xf>
    <xf borderId="1" fillId="11" fontId="9" numFmtId="164" xfId="0" applyAlignment="1" applyBorder="1" applyFont="1" applyNumberFormat="1">
      <alignment horizontal="center" shrinkToFit="0" vertical="center" wrapText="0"/>
    </xf>
    <xf borderId="5" fillId="0" fontId="2" numFmtId="0" xfId="0" applyBorder="1" applyFont="1"/>
    <xf borderId="4" fillId="12" fontId="5" numFmtId="0" xfId="0" applyAlignment="1" applyBorder="1" applyFill="1" applyFont="1">
      <alignment horizontal="left" shrinkToFit="0" vertical="center" wrapText="0"/>
    </xf>
    <xf borderId="1" fillId="12" fontId="9" numFmtId="164" xfId="0" applyAlignment="1" applyBorder="1" applyFont="1" applyNumberFormat="1">
      <alignment horizontal="center" shrinkToFit="0" vertical="center" wrapText="0"/>
    </xf>
    <xf borderId="1" fillId="11" fontId="9" numFmtId="165" xfId="0" applyAlignment="1" applyBorder="1" applyFont="1" applyNumberFormat="1">
      <alignment horizontal="center" shrinkToFit="0" vertical="center" wrapText="0"/>
    </xf>
    <xf borderId="6" fillId="13" fontId="5" numFmtId="0" xfId="0" applyAlignment="1" applyBorder="1" applyFill="1" applyFont="1">
      <alignment horizontal="center" shrinkToFit="0" vertical="bottom" wrapText="0"/>
    </xf>
    <xf borderId="6" fillId="14" fontId="10" numFmtId="0" xfId="0" applyAlignment="1" applyBorder="1" applyFill="1" applyFont="1">
      <alignment shrinkToFit="0" vertical="bottom" wrapText="0"/>
    </xf>
    <xf borderId="6" fillId="14" fontId="7" numFmtId="0" xfId="0" applyAlignment="1" applyBorder="1" applyFont="1">
      <alignment shrinkToFit="0" vertical="bottom" wrapText="0"/>
    </xf>
    <xf borderId="6" fillId="4" fontId="10" numFmtId="0" xfId="0" applyAlignment="1" applyBorder="1" applyFont="1">
      <alignment shrinkToFit="0" vertical="bottom" wrapText="0"/>
    </xf>
    <xf borderId="6" fillId="4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5" width="18.0"/>
    <col customWidth="1" min="6" max="25" width="8.71"/>
  </cols>
  <sheetData>
    <row r="1" ht="13.5" customHeight="1"/>
    <row r="2" ht="36.0" customHeight="1">
      <c r="B2" s="1" t="s">
        <v>0</v>
      </c>
      <c r="C2" s="2"/>
      <c r="D2" s="2"/>
      <c r="E2" s="3"/>
    </row>
    <row r="3" ht="24.0" customHeight="1">
      <c r="B3" s="4" t="s">
        <v>1</v>
      </c>
      <c r="C3" s="2"/>
      <c r="D3" s="2"/>
      <c r="E3" s="3"/>
    </row>
    <row r="4" ht="13.5" customHeight="1"/>
    <row r="5" ht="25.5" customHeight="1">
      <c r="B5" s="5" t="s">
        <v>2</v>
      </c>
      <c r="C5" s="2"/>
      <c r="D5" s="2"/>
      <c r="E5" s="3"/>
    </row>
    <row r="6" ht="21.75" customHeight="1">
      <c r="B6" s="6" t="s">
        <v>3</v>
      </c>
      <c r="C6" s="7" t="s">
        <v>4</v>
      </c>
      <c r="D6" s="7" t="s">
        <v>5</v>
      </c>
      <c r="E6" s="7" t="s">
        <v>6</v>
      </c>
    </row>
    <row r="7" ht="21.75" customHeight="1">
      <c r="B7" s="8" t="s">
        <v>7</v>
      </c>
      <c r="C7" s="9">
        <v>4500.0</v>
      </c>
      <c r="D7" s="10">
        <v>4350.0</v>
      </c>
      <c r="E7" s="11">
        <f t="shared" ref="E7:E12" si="1">D7-C7</f>
        <v>-150</v>
      </c>
    </row>
    <row r="8" ht="21.75" customHeight="1">
      <c r="B8" s="12" t="s">
        <v>8</v>
      </c>
      <c r="C8" s="13"/>
      <c r="D8" s="14">
        <v>500.0</v>
      </c>
      <c r="E8" s="15">
        <f t="shared" si="1"/>
        <v>500</v>
      </c>
    </row>
    <row r="9" ht="21.75" customHeight="1">
      <c r="B9" s="8" t="s">
        <v>9</v>
      </c>
      <c r="C9" s="9"/>
      <c r="D9" s="10">
        <v>400.0</v>
      </c>
      <c r="E9" s="11">
        <f t="shared" si="1"/>
        <v>400</v>
      </c>
    </row>
    <row r="10" ht="21.75" customHeight="1">
      <c r="B10" s="12" t="s">
        <v>10</v>
      </c>
      <c r="C10" s="13"/>
      <c r="D10" s="14">
        <v>450.0</v>
      </c>
      <c r="E10" s="15">
        <f t="shared" si="1"/>
        <v>450</v>
      </c>
    </row>
    <row r="11" ht="21.75" customHeight="1">
      <c r="B11" s="8" t="s">
        <v>11</v>
      </c>
      <c r="C11" s="9"/>
      <c r="D11" s="10">
        <v>150.0</v>
      </c>
      <c r="E11" s="11">
        <f t="shared" si="1"/>
        <v>150</v>
      </c>
    </row>
    <row r="12" ht="21.75" customHeight="1">
      <c r="B12" s="16" t="s">
        <v>12</v>
      </c>
      <c r="C12" s="17">
        <f t="shared" ref="C12:D12" si="2">SUM(C7:C11)</f>
        <v>4500</v>
      </c>
      <c r="D12" s="17">
        <f t="shared" si="2"/>
        <v>5850</v>
      </c>
      <c r="E12" s="17">
        <f t="shared" si="1"/>
        <v>1350</v>
      </c>
    </row>
    <row r="13" ht="7.5" customHeight="1"/>
    <row r="14" ht="25.5" customHeight="1">
      <c r="B14" s="18" t="s">
        <v>13</v>
      </c>
      <c r="C14" s="2"/>
      <c r="D14" s="2"/>
      <c r="E14" s="3"/>
    </row>
    <row r="15" ht="21.75" customHeight="1">
      <c r="B15" s="19" t="s">
        <v>3</v>
      </c>
      <c r="C15" s="20" t="s">
        <v>4</v>
      </c>
      <c r="D15" s="20" t="s">
        <v>5</v>
      </c>
      <c r="E15" s="20" t="s">
        <v>6</v>
      </c>
    </row>
    <row r="16" ht="21.75" customHeight="1">
      <c r="B16" s="8" t="s">
        <v>14</v>
      </c>
      <c r="C16" s="9">
        <v>600.0</v>
      </c>
      <c r="D16" s="10">
        <v>650.0</v>
      </c>
      <c r="E16" s="11">
        <f t="shared" ref="E16:E17" si="3">D16-C16</f>
        <v>50</v>
      </c>
    </row>
    <row r="17" ht="21.75" customHeight="1">
      <c r="B17" s="12" t="s">
        <v>15</v>
      </c>
      <c r="C17" s="13">
        <v>350.0</v>
      </c>
      <c r="D17" s="14">
        <v>400.0</v>
      </c>
      <c r="E17" s="15">
        <f t="shared" si="3"/>
        <v>50</v>
      </c>
    </row>
    <row r="18" ht="21.75" customHeight="1">
      <c r="B18" s="8" t="s">
        <v>16</v>
      </c>
      <c r="C18" s="9">
        <v>50.0</v>
      </c>
      <c r="D18" s="9">
        <v>50.0</v>
      </c>
      <c r="E18" s="11"/>
    </row>
    <row r="19" ht="21.75" customHeight="1">
      <c r="B19" s="12" t="s">
        <v>17</v>
      </c>
      <c r="C19" s="13">
        <v>250.0</v>
      </c>
      <c r="D19" s="14">
        <v>200.0</v>
      </c>
      <c r="E19" s="15">
        <f>D19-C19</f>
        <v>-50</v>
      </c>
    </row>
    <row r="20" ht="21.75" customHeight="1">
      <c r="B20" s="8" t="s">
        <v>18</v>
      </c>
      <c r="C20" s="9">
        <v>1200.0</v>
      </c>
      <c r="D20" s="9">
        <v>1200.0</v>
      </c>
      <c r="E20" s="11"/>
    </row>
    <row r="21" ht="21.75" customHeight="1">
      <c r="B21" s="12" t="s">
        <v>19</v>
      </c>
      <c r="C21" s="13"/>
      <c r="D21" s="13"/>
      <c r="E21" s="15"/>
    </row>
    <row r="22" ht="21.75" customHeight="1">
      <c r="B22" s="8" t="s">
        <v>20</v>
      </c>
      <c r="C22" s="9"/>
      <c r="D22" s="9"/>
      <c r="E22" s="11"/>
    </row>
    <row r="23" ht="21.75" customHeight="1">
      <c r="B23" s="12" t="s">
        <v>21</v>
      </c>
      <c r="C23" s="13"/>
      <c r="D23" s="13"/>
      <c r="E23" s="15"/>
    </row>
    <row r="24" ht="21.75" customHeight="1">
      <c r="B24" s="8" t="s">
        <v>22</v>
      </c>
      <c r="C24" s="9"/>
      <c r="D24" s="9"/>
      <c r="E24" s="11"/>
    </row>
    <row r="25" ht="21.75" customHeight="1">
      <c r="B25" s="21" t="s">
        <v>23</v>
      </c>
      <c r="C25" s="22">
        <f t="shared" ref="C25:D25" si="4">SUM(C16:C24)</f>
        <v>2450</v>
      </c>
      <c r="D25" s="22">
        <f t="shared" si="4"/>
        <v>2500</v>
      </c>
      <c r="E25" s="22">
        <f>D25-C25</f>
        <v>50</v>
      </c>
    </row>
    <row r="26" ht="7.5" customHeight="1"/>
    <row r="27" ht="25.5" customHeight="1">
      <c r="B27" s="23" t="s">
        <v>24</v>
      </c>
      <c r="C27" s="2"/>
      <c r="D27" s="2"/>
      <c r="E27" s="3"/>
    </row>
    <row r="28" ht="21.75" customHeight="1">
      <c r="B28" s="24" t="s">
        <v>25</v>
      </c>
      <c r="C28" s="25">
        <f>D12</f>
        <v>5850</v>
      </c>
      <c r="D28" s="2"/>
      <c r="E28" s="26"/>
    </row>
    <row r="29" ht="21.75" customHeight="1">
      <c r="B29" s="27" t="s">
        <v>26</v>
      </c>
      <c r="C29" s="28">
        <f>D25</f>
        <v>2500</v>
      </c>
      <c r="D29" s="2"/>
      <c r="E29" s="26"/>
    </row>
    <row r="30" ht="21.75" customHeight="1">
      <c r="B30" s="24" t="s">
        <v>27</v>
      </c>
      <c r="C30" s="25">
        <f>D12-D25</f>
        <v>3350</v>
      </c>
      <c r="D30" s="2"/>
      <c r="E30" s="26"/>
    </row>
    <row r="31" ht="21.75" customHeight="1">
      <c r="B31" s="24" t="s">
        <v>28</v>
      </c>
      <c r="C31" s="29">
        <f>IF(D12=0,0,(D12-D25)/D12)</f>
        <v>0.5726495726</v>
      </c>
      <c r="D31" s="2"/>
      <c r="E31" s="26"/>
    </row>
    <row r="34" ht="19.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30:E30"/>
    <mergeCell ref="C31:E31"/>
    <mergeCell ref="B2:E2"/>
    <mergeCell ref="B3:E3"/>
    <mergeCell ref="B5:E5"/>
    <mergeCell ref="B14:E14"/>
    <mergeCell ref="B27:E27"/>
    <mergeCell ref="C28:E28"/>
    <mergeCell ref="C29:E2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5.0"/>
    <col customWidth="1" min="3" max="3" width="50.0"/>
    <col customWidth="1" min="4" max="26" width="8.71"/>
  </cols>
  <sheetData>
    <row r="1">
      <c r="A1" s="30" t="s">
        <v>29</v>
      </c>
      <c r="B1" s="30" t="s">
        <v>30</v>
      </c>
      <c r="C1" s="30" t="s">
        <v>31</v>
      </c>
    </row>
    <row r="2">
      <c r="A2" s="31" t="s">
        <v>32</v>
      </c>
      <c r="B2" s="32" t="s">
        <v>33</v>
      </c>
      <c r="C2" s="31" t="s">
        <v>34</v>
      </c>
    </row>
    <row r="3">
      <c r="A3" s="33" t="s">
        <v>35</v>
      </c>
      <c r="B3" s="34" t="s">
        <v>36</v>
      </c>
      <c r="C3" s="33" t="s">
        <v>37</v>
      </c>
    </row>
    <row r="4">
      <c r="A4" s="31" t="s">
        <v>38</v>
      </c>
      <c r="B4" s="32" t="s">
        <v>39</v>
      </c>
      <c r="C4" s="31" t="s">
        <v>40</v>
      </c>
    </row>
    <row r="5">
      <c r="A5" s="33" t="s">
        <v>41</v>
      </c>
      <c r="B5" s="34" t="s">
        <v>42</v>
      </c>
      <c r="C5" s="33" t="s">
        <v>43</v>
      </c>
    </row>
    <row r="6">
      <c r="A6" s="31" t="s">
        <v>44</v>
      </c>
      <c r="B6" s="32" t="s">
        <v>45</v>
      </c>
      <c r="C6" s="31" t="s">
        <v>46</v>
      </c>
    </row>
    <row r="7">
      <c r="A7" s="33" t="s">
        <v>47</v>
      </c>
      <c r="B7" s="34" t="s">
        <v>48</v>
      </c>
      <c r="C7" s="33" t="s">
        <v>49</v>
      </c>
    </row>
    <row r="8">
      <c r="A8" s="31" t="s">
        <v>50</v>
      </c>
      <c r="B8" s="32" t="s">
        <v>51</v>
      </c>
      <c r="C8" s="31" t="s">
        <v>52</v>
      </c>
    </row>
    <row r="9">
      <c r="A9" s="33" t="s">
        <v>53</v>
      </c>
      <c r="B9" s="34" t="s">
        <v>54</v>
      </c>
      <c r="C9" s="33" t="s">
        <v>55</v>
      </c>
    </row>
    <row r="10">
      <c r="A10" s="31" t="s">
        <v>56</v>
      </c>
      <c r="B10" s="32" t="s">
        <v>57</v>
      </c>
      <c r="C10" s="31" t="s">
        <v>58</v>
      </c>
    </row>
    <row r="11">
      <c r="A11" s="33" t="s">
        <v>59</v>
      </c>
      <c r="B11" s="34" t="s">
        <v>60</v>
      </c>
      <c r="C11" s="33" t="s">
        <v>61</v>
      </c>
    </row>
    <row r="12">
      <c r="A12" s="31" t="s">
        <v>62</v>
      </c>
      <c r="B12" s="32" t="s">
        <v>63</v>
      </c>
      <c r="C12" s="31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2026-03-23T11:22:00Z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